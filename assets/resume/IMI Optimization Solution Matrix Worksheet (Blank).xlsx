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409B384-DBCC-4871-84C0-32C9C4D25E8B}" xr6:coauthVersionLast="47" xr6:coauthVersionMax="47" xr10:uidLastSave="{00000000-0000-0000-0000-000000000000}"/>
  <bookViews>
    <workbookView xWindow="-38520" yWindow="135" windowWidth="38640" windowHeight="15720" xr2:uid="{3171F72F-7B31-4104-B342-27A2432771E9}"/>
  </bookViews>
  <sheets>
    <sheet name="Interactive Optimization" sheetId="1" r:id="rId1"/>
  </sheets>
  <definedNames>
    <definedName name="_xlnm._FilterDatabase" localSheetId="0" hidden="1">'Interactive Optimization'!$D$6:$U$18</definedName>
    <definedName name="solver_adj" localSheetId="0" hidden="1">'Interactive Optimization'!$D$26:$U$37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'Interactive Optimization'!$X$7:$X$17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'Interactive Optimization'!$D$39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'Interactive Optimization'!$Z$7:$Z$17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" i="1" l="1"/>
  <c r="AC29" i="1" s="1"/>
  <c r="M41" i="1"/>
  <c r="H41" i="1"/>
  <c r="G41" i="1"/>
  <c r="U39" i="1"/>
  <c r="U41" i="1" s="1"/>
  <c r="T39" i="1"/>
  <c r="T41" i="1" s="1"/>
  <c r="S39" i="1"/>
  <c r="S41" i="1" s="1"/>
  <c r="R39" i="1"/>
  <c r="R41" i="1" s="1"/>
  <c r="Q39" i="1"/>
  <c r="Q41" i="1" s="1"/>
  <c r="P39" i="1"/>
  <c r="P41" i="1" s="1"/>
  <c r="O39" i="1"/>
  <c r="O41" i="1" s="1"/>
  <c r="N39" i="1"/>
  <c r="N41" i="1" s="1"/>
  <c r="M39" i="1"/>
  <c r="L39" i="1"/>
  <c r="L41" i="1" s="1"/>
  <c r="K39" i="1"/>
  <c r="K41" i="1" s="1"/>
  <c r="J39" i="1"/>
  <c r="J41" i="1" s="1"/>
  <c r="I39" i="1"/>
  <c r="I41" i="1" s="1"/>
  <c r="H39" i="1"/>
  <c r="G39" i="1"/>
  <c r="F39" i="1"/>
  <c r="F41" i="1" s="1"/>
  <c r="E39" i="1"/>
  <c r="E41" i="1" s="1"/>
  <c r="D39" i="1"/>
  <c r="D41" i="1" s="1"/>
  <c r="Y37" i="1"/>
  <c r="W37" i="1"/>
  <c r="Y36" i="1"/>
  <c r="W36" i="1"/>
  <c r="Y35" i="1"/>
  <c r="W35" i="1"/>
  <c r="Y34" i="1"/>
  <c r="W34" i="1"/>
  <c r="X34" i="1" s="1"/>
  <c r="Y33" i="1"/>
  <c r="W33" i="1"/>
  <c r="Y32" i="1"/>
  <c r="W32" i="1"/>
  <c r="X13" i="1" s="1"/>
  <c r="Y31" i="1"/>
  <c r="W31" i="1"/>
  <c r="X11" i="1" s="1"/>
  <c r="Y30" i="1"/>
  <c r="W30" i="1"/>
  <c r="Y29" i="1"/>
  <c r="W29" i="1"/>
  <c r="Y28" i="1"/>
  <c r="W28" i="1"/>
  <c r="X28" i="1" s="1"/>
  <c r="Y27" i="1"/>
  <c r="W27" i="1"/>
  <c r="Y26" i="1"/>
  <c r="W26" i="1"/>
  <c r="X26" i="1" s="1"/>
  <c r="Z20" i="1"/>
  <c r="Y20" i="1"/>
  <c r="V20" i="1"/>
  <c r="V39" i="1" l="1"/>
  <c r="X15" i="1"/>
  <c r="AB16" i="1" s="1"/>
  <c r="X30" i="1"/>
  <c r="X17" i="1"/>
  <c r="AB18" i="1" s="1"/>
  <c r="V41" i="1"/>
  <c r="X9" i="1"/>
  <c r="AB9" i="1" s="1"/>
  <c r="Y39" i="1"/>
  <c r="Y41" i="1"/>
  <c r="AB13" i="1"/>
  <c r="AB14" i="1"/>
  <c r="AB12" i="1"/>
  <c r="AB11" i="1"/>
  <c r="X7" i="1"/>
  <c r="X36" i="1"/>
  <c r="X32" i="1"/>
  <c r="X39" i="1" s="1"/>
  <c r="AB10" i="1"/>
  <c r="AB15" i="1"/>
  <c r="AB17" i="1" l="1"/>
  <c r="X20" i="1"/>
  <c r="X41" i="1" s="1"/>
  <c r="AB8" i="1"/>
  <c r="AB7" i="1"/>
</calcChain>
</file>

<file path=xl/sharedStrings.xml><?xml version="1.0" encoding="utf-8"?>
<sst xmlns="http://schemas.openxmlformats.org/spreadsheetml/2006/main" count="123" uniqueCount="68">
  <si>
    <t>COA Cost Matrix &amp; Optimization</t>
  </si>
  <si>
    <t>1. COST MATRIX ($ PER SHIPMENT)</t>
  </si>
  <si>
    <t>3. GROUP CONSTRAINTS SUMMARY</t>
  </si>
  <si>
    <t>DISCHARGE PORT</t>
  </si>
  <si>
    <t>BALTIMORE - RUKERT</t>
  </si>
  <si>
    <t>BRISTOL</t>
  </si>
  <si>
    <t>BUCHANAN</t>
  </si>
  <si>
    <t>CAMDEN</t>
  </si>
  <si>
    <t>CEMENTON</t>
  </si>
  <si>
    <t>CHARLESTON - CARVER</t>
  </si>
  <si>
    <t>CHARLESTON - KMI</t>
  </si>
  <si>
    <t>CHARLESTON - PIER J</t>
  </si>
  <si>
    <t>COEYMANS</t>
  </si>
  <si>
    <t>JACKSONVILLE</t>
  </si>
  <si>
    <t>MONTREAL</t>
  </si>
  <si>
    <t>NEWINGTON</t>
  </si>
  <si>
    <t>NORFOLK</t>
  </si>
  <si>
    <t>PORT EVERGLADES</t>
  </si>
  <si>
    <t>PORT MANATEE</t>
  </si>
  <si>
    <t>SAVANNAH</t>
  </si>
  <si>
    <t>SEARSPORT</t>
  </si>
  <si>
    <t>TAMPA</t>
  </si>
  <si>
    <t>COA NAME</t>
  </si>
  <si>
    <t>OPTIMIZED SUM</t>
  </si>
  <si>
    <t>MIN</t>
  </si>
  <si>
    <t>MAX</t>
  </si>
  <si>
    <t xml:space="preserve">COA ID# </t>
  </si>
  <si>
    <t>A</t>
  </si>
  <si>
    <t>EDF-2018_ALMERIA</t>
  </si>
  <si>
    <t>EDF-2018</t>
  </si>
  <si>
    <t>--&gt;</t>
  </si>
  <si>
    <t>B</t>
  </si>
  <si>
    <t>EDF-2018_GARRUCHA</t>
  </si>
  <si>
    <t>C</t>
  </si>
  <si>
    <t>NORDEN_ALMERIA</t>
  </si>
  <si>
    <t>Norden</t>
  </si>
  <si>
    <t>D</t>
  </si>
  <si>
    <t>NORDEN_GARRUCHA</t>
  </si>
  <si>
    <t>E</t>
  </si>
  <si>
    <t>NORDEN-OPTIONALS_ALMERIA</t>
  </si>
  <si>
    <t>Norden-Optionals</t>
  </si>
  <si>
    <t>F</t>
  </si>
  <si>
    <t>NORDEN-OPTIONALS_GARRUCHA</t>
  </si>
  <si>
    <t>G</t>
  </si>
  <si>
    <t>PB-2016_ALMERIA</t>
  </si>
  <si>
    <t>PB-2016</t>
  </si>
  <si>
    <t>H</t>
  </si>
  <si>
    <t>PB-2016_GARRUCHA</t>
  </si>
  <si>
    <t>I</t>
  </si>
  <si>
    <t>PB-2019_ALMERIA</t>
  </si>
  <si>
    <t>PB-2019</t>
  </si>
  <si>
    <t>J</t>
  </si>
  <si>
    <t>PB-2019_GARRUCHA</t>
  </si>
  <si>
    <t>K</t>
  </si>
  <si>
    <t>PHOENIX_ALMERIA</t>
  </si>
  <si>
    <t>Phoenix</t>
  </si>
  <si>
    <t>L</t>
  </si>
  <si>
    <t>PHOENIX_GARRUCHA</t>
  </si>
  <si>
    <t>DEMAND (MINIMUM)</t>
  </si>
  <si>
    <t>2. DECISION VARIABLES (SHIPMENT COUNTS)</t>
  </si>
  <si>
    <t>4. OBJECTIVE FUNCTION (MIN COST)</t>
  </si>
  <si>
    <t>SUPPLY (OPTIMIZED)</t>
  </si>
  <si>
    <t>COAS (OPTIMIZED)</t>
  </si>
  <si>
    <t>OBJECTIVE OPTIMIZED</t>
  </si>
  <si>
    <t>DEMAND (OPTIMIZED)</t>
  </si>
  <si>
    <t>METRIC TONS</t>
  </si>
  <si>
    <t>TOTAL COST</t>
  </si>
  <si>
    <t>COAS     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</si>
</sst>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22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3" fillId="0" borderId="0" xfId="0" applyFo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wrapText="1"/>
    </xf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0" fontId="4" fillId="7" borderId="3" xfId="0" applyFont="1" applyFill="1" applyBorder="1"/>
    <xf numFmtId="44" fontId="0" fillId="2" borderId="1" xfId="1" applyFont="1" applyFill="1" applyBorder="1"/>
    <xf numFmtId="44" fontId="7" fillId="8" borderId="1" xfId="1" applyFont="1" applyFill="1" applyBorder="1"/>
    <xf numFmtId="0" fontId="4" fillId="2" borderId="0" xfId="0" quotePrefix="1" applyFont="1" applyFill="1" applyAlignment="1">
      <alignment horizontal="center"/>
    </xf>
    <xf numFmtId="0" fontId="4" fillId="2" borderId="0" xfId="0" applyFont="1" applyFill="1"/>
    <xf numFmtId="0" fontId="1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/>
    </xf>
    <xf numFmtId="0" fontId="5" fillId="2" borderId="0" xfId="0" applyFont="1" applyFill="1"/>
    <xf numFmtId="0" fontId="1" fillId="12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wrapText="1"/>
    </xf>
    <xf numFmtId="44" fontId="4" fillId="14" borderId="1" xfId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/>
    </xf>
    <xf numFmtId="0" fontId="7" fillId="8" borderId="1" xfId="1" applyNumberFormat="1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4" fillId="15" borderId="1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14" borderId="14" xfId="2" applyNumberFormat="1" applyFont="1" applyFill="1" applyBorder="1" applyAlignment="1">
      <alignment horizontal="center" vertical="center"/>
    </xf>
    <xf numFmtId="164" fontId="4" fillId="14" borderId="2" xfId="2" applyNumberFormat="1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 wrapText="1"/>
    </xf>
    <xf numFmtId="44" fontId="4" fillId="14" borderId="15" xfId="1" applyFont="1" applyFill="1" applyBorder="1" applyAlignment="1">
      <alignment horizontal="center" vertical="center"/>
    </xf>
    <xf numFmtId="44" fontId="4" fillId="14" borderId="16" xfId="1" applyFont="1" applyFill="1" applyBorder="1" applyAlignment="1">
      <alignment horizontal="center" vertical="center"/>
    </xf>
    <xf numFmtId="44" fontId="4" fillId="14" borderId="17" xfId="1" applyFont="1" applyFill="1" applyBorder="1" applyAlignment="1">
      <alignment horizontal="center" vertical="center"/>
    </xf>
    <xf numFmtId="44" fontId="4" fillId="14" borderId="18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44" fontId="4" fillId="15" borderId="6" xfId="1" applyFont="1" applyFill="1" applyBorder="1" applyAlignment="1">
      <alignment horizontal="center"/>
    </xf>
    <xf numFmtId="44" fontId="4" fillId="15" borderId="7" xfId="1" applyFont="1" applyFill="1" applyBorder="1" applyAlignment="1">
      <alignment horizontal="center"/>
    </xf>
    <xf numFmtId="44" fontId="4" fillId="15" borderId="10" xfId="1" applyFont="1" applyFill="1" applyBorder="1" applyAlignment="1">
      <alignment horizontal="center"/>
    </xf>
    <xf numFmtId="44" fontId="4" fillId="15" borderId="11" xfId="1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 vertical="top" wrapText="1"/>
    </xf>
    <xf numFmtId="0" fontId="1" fillId="12" borderId="3" xfId="0" applyFont="1" applyFill="1" applyBorder="1" applyAlignment="1">
      <alignment horizontal="center" vertical="top" wrapText="1"/>
    </xf>
    <xf numFmtId="0" fontId="4" fillId="15" borderId="13" xfId="0" applyFont="1" applyFill="1" applyBorder="1" applyAlignment="1">
      <alignment horizontal="center" vertical="center"/>
    </xf>
    <xf numFmtId="44" fontId="1" fillId="12" borderId="1" xfId="0" applyNumberFormat="1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1255940</xdr:colOff>
      <xdr:row>4</xdr:row>
      <xdr:rowOff>137432</xdr:rowOff>
    </xdr:from>
    <xdr:to>
      <xdr:col>2</xdr:col>
      <xdr:colOff>1479097</xdr:colOff>
      <xdr:row>4</xdr:row>
      <xdr:rowOff>137432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85B6772-8679-476A-A358-E7224E3892AC}"/>
            </a:ext>
          </a:extLst>
        </xdr:cNvPr>
        <xdr:cNvCxnSpPr/>
      </xdr:nvCxnSpPr>
      <xdr:spPr>
        <a:xfrm flipV="1">
          <a:off x="1703615" y="1118507"/>
          <a:ext cx="223157" cy="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760640</xdr:colOff>
      <xdr:row>4</xdr:row>
      <xdr:rowOff>314325</xdr:rowOff>
    </xdr:from>
    <xdr:to>
      <xdr:col>2</xdr:col>
      <xdr:colOff>760640</xdr:colOff>
      <xdr:row>6</xdr:row>
      <xdr:rowOff>3538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E87809-327A-4109-86C8-E143C0510205}"/>
            </a:ext>
          </a:extLst>
        </xdr:cNvPr>
        <xdr:cNvCxnSpPr/>
      </xdr:nvCxnSpPr>
      <xdr:spPr>
        <a:xfrm flipH="1">
          <a:off x="1208315" y="1295400"/>
          <a:ext cx="0" cy="260713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1341665</xdr:colOff>
      <xdr:row>23</xdr:row>
      <xdr:rowOff>137432</xdr:rowOff>
    </xdr:from>
    <xdr:to>
      <xdr:col>2</xdr:col>
      <xdr:colOff>1564822</xdr:colOff>
      <xdr:row>23</xdr:row>
      <xdr:rowOff>137432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E5C8A84-BEDA-44B0-944F-BAA7DF390506}"/>
            </a:ext>
          </a:extLst>
        </xdr:cNvPr>
        <xdr:cNvCxnSpPr/>
      </xdr:nvCxnSpPr>
      <xdr:spPr>
        <a:xfrm flipV="1">
          <a:off x="1789340" y="5023757"/>
          <a:ext cx="223157" cy="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760640</xdr:colOff>
      <xdr:row>23</xdr:row>
      <xdr:rowOff>314325</xdr:rowOff>
    </xdr:from>
    <xdr:to>
      <xdr:col>2</xdr:col>
      <xdr:colOff>760640</xdr:colOff>
      <xdr:row>25</xdr:row>
      <xdr:rowOff>3538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41F2E6C-6DA1-467A-BEA1-81BDE8472168}"/>
            </a:ext>
          </a:extLst>
        </xdr:cNvPr>
        <xdr:cNvCxnSpPr/>
      </xdr:nvCxnSpPr>
      <xdr:spPr>
        <a:xfrm flipH="1">
          <a:off x="1208315" y="5200650"/>
          <a:ext cx="0" cy="270238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994833</xdr:colOff>
      <xdr:row>23</xdr:row>
      <xdr:rowOff>52916</xdr:rowOff>
    </xdr:from>
    <xdr:to>
      <xdr:col>22</xdr:col>
      <xdr:colOff>994833</xdr:colOff>
      <xdr:row>23</xdr:row>
      <xdr:rowOff>271296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5D0DB7B-A936-489A-B1AB-46502FD8D5FC}"/>
            </a:ext>
          </a:extLst>
        </xdr:cNvPr>
        <xdr:cNvCxnSpPr/>
      </xdr:nvCxnSpPr>
      <xdr:spPr>
        <a:xfrm flipH="1">
          <a:off x="17749308" y="4939241"/>
          <a:ext cx="0" cy="21838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1418239</xdr:colOff>
      <xdr:row>38</xdr:row>
      <xdr:rowOff>95721</xdr:rowOff>
    </xdr:from>
    <xdr:to>
      <xdr:col>2</xdr:col>
      <xdr:colOff>1641396</xdr:colOff>
      <xdr:row>38</xdr:row>
      <xdr:rowOff>95721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6D37737-AA06-4CA4-A6D4-806A4DEE4F62}"/>
            </a:ext>
          </a:extLst>
        </xdr:cNvPr>
        <xdr:cNvCxnSpPr/>
      </xdr:nvCxnSpPr>
      <xdr:spPr>
        <a:xfrm flipV="1">
          <a:off x="1865914" y="8096721"/>
          <a:ext cx="223157" cy="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1440650</xdr:colOff>
      <xdr:row>19</xdr:row>
      <xdr:rowOff>84515</xdr:rowOff>
    </xdr:from>
    <xdr:to>
      <xdr:col>2</xdr:col>
      <xdr:colOff>1663807</xdr:colOff>
      <xdr:row>19</xdr:row>
      <xdr:rowOff>84515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68F296E-452A-4D9E-A1B7-B38A603BB0F5}"/>
            </a:ext>
          </a:extLst>
        </xdr:cNvPr>
        <xdr:cNvCxnSpPr/>
      </xdr:nvCxnSpPr>
      <xdr:spPr>
        <a:xfrm flipV="1">
          <a:off x="1888325" y="4113590"/>
          <a:ext cx="223157" cy="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696757</xdr:colOff>
      <xdr:row>23</xdr:row>
      <xdr:rowOff>30504</xdr:rowOff>
    </xdr:from>
    <xdr:to>
      <xdr:col>23</xdr:col>
      <xdr:colOff>696757</xdr:colOff>
      <xdr:row>23</xdr:row>
      <xdr:rowOff>248884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A800CFC-330A-4E36-927A-4C252ACC2DBD}"/>
            </a:ext>
          </a:extLst>
        </xdr:cNvPr>
        <xdr:cNvCxnSpPr/>
      </xdr:nvCxnSpPr>
      <xdr:spPr>
        <a:xfrm flipH="1">
          <a:off x="18603757" y="4916829"/>
          <a:ext cx="0" cy="21838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273843</xdr:colOff>
      <xdr:row>0</xdr:row>
      <xdr:rowOff>95250</xdr:rowOff>
    </xdr:from>
    <xdr:to>
      <xdr:col>20</xdr:col>
      <xdr:colOff>631030</xdr:colOff>
      <xdr:row>2</xdr:row>
      <xdr:rowOff>42160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1191C1-CD59-40BF-847F-DD29CF8AF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7018" y="95250"/>
          <a:ext cx="1881187" cy="499360"/>
        </a:xfrm>
        <a:prstGeom prst="rect">
          <a:avLst/>
        </a:prstGeom>
      </xdr:spPr>
    </xdr:pic>
    <xdr:clientData/>
  </xdr:twoCellAnchor>
  <xdr:twoCellAnchor editAs="oneCell">
    <xdr:from>
      <xdr:col>16</xdr:col>
      <xdr:colOff>575469</xdr:colOff>
      <xdr:row>0</xdr:row>
      <xdr:rowOff>47625</xdr:rowOff>
    </xdr:from>
    <xdr:to>
      <xdr:col>18</xdr:col>
      <xdr:colOff>107157</xdr:colOff>
      <xdr:row>2</xdr:row>
      <xdr:rowOff>93761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1FF122-9292-4BB0-89C6-4976D91E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4644" y="47625"/>
          <a:ext cx="1055688" cy="598586"/>
        </a:xfrm>
        <a:prstGeom prst="rect">
          <a:avLst/>
        </a:prstGeom>
      </xdr:spPr>
    </xdr:pic>
    <xdr:clientData/>
  </xdr:twoCellAnchor>
  <xdr:twoCellAnchor>
    <xdr:from>
      <xdr:col>25</xdr:col>
      <xdr:colOff>225269</xdr:colOff>
      <xdr:row>23</xdr:row>
      <xdr:rowOff>30504</xdr:rowOff>
    </xdr:from>
    <xdr:to>
      <xdr:col>25</xdr:col>
      <xdr:colOff>225269</xdr:colOff>
      <xdr:row>23</xdr:row>
      <xdr:rowOff>248884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0B23F1B-C67F-44F4-BD0B-BFA247028849}"/>
            </a:ext>
          </a:extLst>
        </xdr:cNvPr>
        <xdr:cNvCxnSpPr/>
      </xdr:nvCxnSpPr>
      <xdr:spPr>
        <a:xfrm flipH="1">
          <a:off x="19263363" y="4912067"/>
          <a:ext cx="0" cy="218380"/>
        </a:xfrm>
        <a:prstGeom prst="straightConnector1">
          <a:avLst/>
        </a:prstGeom>
        <a:ln w="3810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0102-E3F2-4E9A-B64F-DD270C61BE95}">
  <dimension ref="B1:AE50"/>
  <sheetViews>
    <sheetView tabSelected="1" zoomScale="80" zoomScaleNormal="80" workbookViewId="0">
      <selection activeCell="V22" sqref="V22"/>
    </sheetView>
  </sheetViews>
  <sheetFormatPr defaultColWidth="11.42578125" defaultRowHeight="15" x14ac:dyDescent="0.25"/>
  <cols>
    <col min="1" max="1" width="3.42578125" style="1" customWidth="1"/>
    <col min="2" max="2" width="3.28515625" style="1" customWidth="1"/>
    <col min="3" max="3" width="31.42578125" style="1" customWidth="1"/>
    <col min="4" max="21" width="11.42578125" style="1"/>
    <col min="22" max="22" width="7.42578125" style="1" customWidth="1"/>
    <col min="23" max="23" width="17.28515625" style="1" bestFit="1" customWidth="1"/>
    <col min="24" max="24" width="12.5703125" style="1" bestFit="1" customWidth="1"/>
    <col min="25" max="26" width="6.5703125" style="3" customWidth="1"/>
    <col min="27" max="27" width="11.5703125" style="1" customWidth="1"/>
    <col min="28" max="28" width="11.42578125" style="1" customWidth="1"/>
    <col min="29" max="29" width="11.140625" style="3" customWidth="1"/>
    <col min="30" max="30" width="5.5703125" style="1" customWidth="1"/>
    <col min="31" max="31" width="2.85546875" style="3" customWidth="1"/>
    <col min="32" max="16384" width="11.42578125" style="1"/>
  </cols>
  <sheetData>
    <row r="1" spans="2:28" ht="28.5" x14ac:dyDescent="0.45">
      <c r="C1" s="2" t="s">
        <v>0</v>
      </c>
    </row>
    <row r="2" spans="2:28" x14ac:dyDescent="0.25">
      <c r="W2" s="4"/>
      <c r="X2" s="4"/>
      <c r="Y2" s="31"/>
      <c r="Z2" s="31"/>
    </row>
    <row r="3" spans="2:28" ht="18.75" x14ac:dyDescent="0.3">
      <c r="C3" s="40" t="s">
        <v>1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W3" s="40" t="s">
        <v>2</v>
      </c>
      <c r="X3" s="40"/>
      <c r="Y3" s="40"/>
      <c r="Z3" s="40"/>
    </row>
    <row r="4" spans="2:28" x14ac:dyDescent="0.25"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</row>
    <row r="5" spans="2:28" ht="30" x14ac:dyDescent="0.25"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W5" s="8" t="s">
        <v>22</v>
      </c>
      <c r="X5" s="9" t="s">
        <v>23</v>
      </c>
      <c r="Y5" s="8" t="s">
        <v>24</v>
      </c>
      <c r="Z5" s="8" t="s">
        <v>25</v>
      </c>
    </row>
    <row r="6" spans="2:28" x14ac:dyDescent="0.25">
      <c r="C6" s="10" t="s">
        <v>26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W6" s="4"/>
      <c r="X6" s="4"/>
      <c r="Y6" s="31"/>
      <c r="Z6" s="31"/>
    </row>
    <row r="7" spans="2:28" x14ac:dyDescent="0.25">
      <c r="B7" s="12" t="s">
        <v>27</v>
      </c>
      <c r="C7" s="13" t="s">
        <v>28</v>
      </c>
      <c r="D7" s="14"/>
      <c r="E7" s="14"/>
      <c r="F7" s="14"/>
      <c r="G7" s="14"/>
      <c r="H7" s="14"/>
      <c r="I7" s="14"/>
      <c r="J7" s="15"/>
      <c r="K7" s="14"/>
      <c r="L7" s="15"/>
      <c r="M7" s="14"/>
      <c r="N7" s="14"/>
      <c r="O7" s="15"/>
      <c r="P7" s="15"/>
      <c r="Q7" s="14"/>
      <c r="R7" s="15"/>
      <c r="S7" s="14"/>
      <c r="T7" s="14"/>
      <c r="U7" s="14"/>
      <c r="W7" s="41" t="s">
        <v>29</v>
      </c>
      <c r="X7" s="42">
        <f>W26+W27</f>
        <v>0</v>
      </c>
      <c r="Y7" s="42"/>
      <c r="Z7" s="42"/>
      <c r="AA7" s="16" t="s">
        <v>30</v>
      </c>
      <c r="AB7" s="17" t="b">
        <f>IF(X7&gt;=Y7,TRUE,FALSE)</f>
        <v>1</v>
      </c>
    </row>
    <row r="8" spans="2:28" x14ac:dyDescent="0.25">
      <c r="B8" s="12" t="s">
        <v>31</v>
      </c>
      <c r="C8" s="13" t="s">
        <v>32</v>
      </c>
      <c r="D8" s="14"/>
      <c r="E8" s="14"/>
      <c r="F8" s="14"/>
      <c r="G8" s="14"/>
      <c r="H8" s="14"/>
      <c r="I8" s="14"/>
      <c r="J8" s="15"/>
      <c r="K8" s="14"/>
      <c r="L8" s="15"/>
      <c r="M8" s="14"/>
      <c r="N8" s="14"/>
      <c r="O8" s="15"/>
      <c r="P8" s="15"/>
      <c r="Q8" s="14"/>
      <c r="R8" s="15"/>
      <c r="S8" s="14"/>
      <c r="T8" s="14"/>
      <c r="U8" s="14"/>
      <c r="W8" s="41"/>
      <c r="X8" s="42"/>
      <c r="Y8" s="42"/>
      <c r="Z8" s="42"/>
      <c r="AA8" s="16" t="s">
        <v>30</v>
      </c>
      <c r="AB8" s="17" t="b">
        <f>IF(X7&lt;=Z7,TRUE,FALSE)</f>
        <v>1</v>
      </c>
    </row>
    <row r="9" spans="2:28" x14ac:dyDescent="0.25">
      <c r="B9" s="12" t="s">
        <v>33</v>
      </c>
      <c r="C9" s="13" t="s">
        <v>34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  <c r="W9" s="41" t="s">
        <v>35</v>
      </c>
      <c r="X9" s="42">
        <f>W28+W29</f>
        <v>0</v>
      </c>
      <c r="Y9" s="42"/>
      <c r="Z9" s="42"/>
      <c r="AA9" s="16" t="s">
        <v>30</v>
      </c>
      <c r="AB9" s="17" t="b">
        <f t="shared" ref="AB9" si="0">IF(X9&gt;=Y9,TRUE,FALSE)</f>
        <v>1</v>
      </c>
    </row>
    <row r="10" spans="2:28" x14ac:dyDescent="0.25">
      <c r="B10" s="12" t="s">
        <v>36</v>
      </c>
      <c r="C10" s="13" t="s">
        <v>37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41"/>
      <c r="X10" s="42"/>
      <c r="Y10" s="42"/>
      <c r="Z10" s="42"/>
      <c r="AA10" s="16" t="s">
        <v>30</v>
      </c>
      <c r="AB10" s="17" t="b">
        <f t="shared" ref="AB10" si="1">IF(X9&lt;=Z9,TRUE,FALSE)</f>
        <v>1</v>
      </c>
    </row>
    <row r="11" spans="2:28" x14ac:dyDescent="0.25">
      <c r="B11" s="12" t="s">
        <v>38</v>
      </c>
      <c r="C11" s="13" t="s">
        <v>39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41" t="s">
        <v>40</v>
      </c>
      <c r="X11" s="42">
        <f>W30+W31</f>
        <v>0</v>
      </c>
      <c r="Y11" s="42"/>
      <c r="Z11" s="42"/>
      <c r="AA11" s="16" t="s">
        <v>30</v>
      </c>
      <c r="AB11" s="17" t="b">
        <f t="shared" ref="AB11" si="2">IF(X11&gt;=Y11,TRUE,FALSE)</f>
        <v>1</v>
      </c>
    </row>
    <row r="12" spans="2:28" x14ac:dyDescent="0.25">
      <c r="B12" s="12" t="s">
        <v>41</v>
      </c>
      <c r="C12" s="13" t="s">
        <v>42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W12" s="41"/>
      <c r="X12" s="42"/>
      <c r="Y12" s="42"/>
      <c r="Z12" s="42"/>
      <c r="AA12" s="16" t="s">
        <v>30</v>
      </c>
      <c r="AB12" s="17" t="b">
        <f t="shared" ref="AB12" si="3">IF(X11&lt;=Z11,TRUE,FALSE)</f>
        <v>1</v>
      </c>
    </row>
    <row r="13" spans="2:28" x14ac:dyDescent="0.25">
      <c r="B13" s="12" t="s">
        <v>43</v>
      </c>
      <c r="C13" s="13" t="s">
        <v>44</v>
      </c>
      <c r="D13" s="15"/>
      <c r="E13" s="15"/>
      <c r="F13" s="15"/>
      <c r="G13" s="14"/>
      <c r="H13" s="15"/>
      <c r="I13" s="15"/>
      <c r="J13" s="15"/>
      <c r="K13" s="15"/>
      <c r="L13" s="15"/>
      <c r="M13" s="15"/>
      <c r="N13" s="15"/>
      <c r="O13" s="14"/>
      <c r="P13" s="15"/>
      <c r="Q13" s="15"/>
      <c r="R13" s="15"/>
      <c r="S13" s="14"/>
      <c r="T13" s="15"/>
      <c r="U13" s="15"/>
      <c r="W13" s="41" t="s">
        <v>45</v>
      </c>
      <c r="X13" s="42">
        <f>W32+W33</f>
        <v>0</v>
      </c>
      <c r="Y13" s="42"/>
      <c r="Z13" s="42"/>
      <c r="AA13" s="16" t="s">
        <v>30</v>
      </c>
      <c r="AB13" s="17" t="b">
        <f t="shared" ref="AB13" si="4">IF(X13&gt;=Y13,TRUE,FALSE)</f>
        <v>1</v>
      </c>
    </row>
    <row r="14" spans="2:28" x14ac:dyDescent="0.25">
      <c r="B14" s="12" t="s">
        <v>46</v>
      </c>
      <c r="C14" s="13" t="s">
        <v>47</v>
      </c>
      <c r="D14" s="15"/>
      <c r="E14" s="15"/>
      <c r="F14" s="15"/>
      <c r="G14" s="14"/>
      <c r="H14" s="15"/>
      <c r="I14" s="15"/>
      <c r="J14" s="15"/>
      <c r="K14" s="15"/>
      <c r="L14" s="15"/>
      <c r="M14" s="15"/>
      <c r="N14" s="15"/>
      <c r="O14" s="14"/>
      <c r="P14" s="15"/>
      <c r="Q14" s="15"/>
      <c r="R14" s="15"/>
      <c r="S14" s="14"/>
      <c r="T14" s="15"/>
      <c r="U14" s="15"/>
      <c r="W14" s="41"/>
      <c r="X14" s="42"/>
      <c r="Y14" s="42"/>
      <c r="Z14" s="42"/>
      <c r="AA14" s="16" t="s">
        <v>30</v>
      </c>
      <c r="AB14" s="17" t="b">
        <f t="shared" ref="AB14" si="5">IF(X13&lt;=Z13,TRUE,FALSE)</f>
        <v>1</v>
      </c>
    </row>
    <row r="15" spans="2:28" x14ac:dyDescent="0.25">
      <c r="B15" s="12" t="s">
        <v>48</v>
      </c>
      <c r="C15" s="13" t="s">
        <v>49</v>
      </c>
      <c r="D15" s="15"/>
      <c r="E15" s="15"/>
      <c r="F15" s="15"/>
      <c r="G15" s="14"/>
      <c r="H15" s="15"/>
      <c r="I15" s="15"/>
      <c r="J15" s="15"/>
      <c r="K15" s="14"/>
      <c r="L15" s="14"/>
      <c r="M15" s="15"/>
      <c r="N15" s="15"/>
      <c r="O15" s="14"/>
      <c r="P15" s="15"/>
      <c r="Q15" s="15"/>
      <c r="R15" s="15"/>
      <c r="S15" s="14"/>
      <c r="T15" s="15"/>
      <c r="U15" s="15"/>
      <c r="W15" s="41" t="s">
        <v>50</v>
      </c>
      <c r="X15" s="42">
        <f>W34+W35</f>
        <v>0</v>
      </c>
      <c r="Y15" s="42"/>
      <c r="Z15" s="42"/>
      <c r="AA15" s="16" t="s">
        <v>30</v>
      </c>
      <c r="AB15" s="17" t="b">
        <f t="shared" ref="AB15" si="6">IF(X15&gt;=Y15,TRUE,FALSE)</f>
        <v>1</v>
      </c>
    </row>
    <row r="16" spans="2:28" x14ac:dyDescent="0.25">
      <c r="B16" s="12" t="s">
        <v>51</v>
      </c>
      <c r="C16" s="13" t="s">
        <v>52</v>
      </c>
      <c r="D16" s="15"/>
      <c r="E16" s="15"/>
      <c r="F16" s="15"/>
      <c r="G16" s="14"/>
      <c r="H16" s="15"/>
      <c r="I16" s="15"/>
      <c r="J16" s="15"/>
      <c r="K16" s="14"/>
      <c r="L16" s="14"/>
      <c r="M16" s="15"/>
      <c r="N16" s="15"/>
      <c r="O16" s="14"/>
      <c r="P16" s="15"/>
      <c r="Q16" s="15"/>
      <c r="R16" s="15"/>
      <c r="S16" s="14"/>
      <c r="T16" s="15"/>
      <c r="U16" s="15"/>
      <c r="W16" s="41"/>
      <c r="X16" s="42"/>
      <c r="Y16" s="42"/>
      <c r="Z16" s="42"/>
      <c r="AA16" s="16" t="s">
        <v>30</v>
      </c>
      <c r="AB16" s="17" t="b">
        <f t="shared" ref="AB16" si="7">IF(X15&lt;=Z15,TRUE,FALSE)</f>
        <v>1</v>
      </c>
    </row>
    <row r="17" spans="2:31" x14ac:dyDescent="0.25">
      <c r="B17" s="12" t="s">
        <v>53</v>
      </c>
      <c r="C17" s="13" t="s">
        <v>54</v>
      </c>
      <c r="D17" s="15"/>
      <c r="E17" s="15"/>
      <c r="F17" s="15"/>
      <c r="G17" s="14"/>
      <c r="H17" s="15"/>
      <c r="I17" s="15"/>
      <c r="J17" s="15"/>
      <c r="K17" s="14"/>
      <c r="L17" s="14"/>
      <c r="M17" s="15"/>
      <c r="N17" s="14"/>
      <c r="O17" s="14"/>
      <c r="P17" s="15"/>
      <c r="Q17" s="15"/>
      <c r="R17" s="15"/>
      <c r="S17" s="14"/>
      <c r="T17" s="15"/>
      <c r="U17" s="15"/>
      <c r="W17" s="41" t="s">
        <v>55</v>
      </c>
      <c r="X17" s="42">
        <f>W36+W37</f>
        <v>0</v>
      </c>
      <c r="Y17" s="42"/>
      <c r="Z17" s="42"/>
      <c r="AA17" s="16" t="s">
        <v>30</v>
      </c>
      <c r="AB17" s="17" t="b">
        <f t="shared" ref="AB17" si="8">IF(X17&gt;=Y17,TRUE,FALSE)</f>
        <v>1</v>
      </c>
    </row>
    <row r="18" spans="2:31" x14ac:dyDescent="0.25">
      <c r="B18" s="12" t="s">
        <v>56</v>
      </c>
      <c r="C18" s="13" t="s">
        <v>57</v>
      </c>
      <c r="D18" s="15"/>
      <c r="E18" s="15"/>
      <c r="F18" s="15"/>
      <c r="G18" s="14"/>
      <c r="H18" s="15"/>
      <c r="I18" s="15"/>
      <c r="J18" s="15"/>
      <c r="K18" s="14"/>
      <c r="L18" s="14"/>
      <c r="M18" s="15"/>
      <c r="N18" s="14"/>
      <c r="O18" s="14"/>
      <c r="P18" s="15"/>
      <c r="Q18" s="15"/>
      <c r="R18" s="15"/>
      <c r="S18" s="14"/>
      <c r="T18" s="15"/>
      <c r="U18" s="15"/>
      <c r="W18" s="41"/>
      <c r="X18" s="42"/>
      <c r="Y18" s="42"/>
      <c r="Z18" s="42"/>
      <c r="AA18" s="16" t="s">
        <v>30</v>
      </c>
      <c r="AB18" s="17" t="b">
        <f t="shared" ref="AB18" si="9">IF(X17&lt;=Z17,TRUE,FALSE)</f>
        <v>1</v>
      </c>
    </row>
    <row r="19" spans="2:31" x14ac:dyDescent="0.25">
      <c r="W19" s="4"/>
      <c r="X19" s="4"/>
      <c r="Y19" s="31"/>
      <c r="Z19" s="31"/>
    </row>
    <row r="20" spans="2:31" x14ac:dyDescent="0.25">
      <c r="C20" s="18" t="s">
        <v>58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>
        <f>SUM(D20:U20)</f>
        <v>0</v>
      </c>
      <c r="X20" s="21">
        <f>SUM(X7:X17)</f>
        <v>0</v>
      </c>
      <c r="Y20" s="21">
        <f t="shared" ref="Y20:Z20" si="10">SUM(Y7:Y17)</f>
        <v>0</v>
      </c>
      <c r="Z20" s="21">
        <f t="shared" si="10"/>
        <v>0</v>
      </c>
    </row>
    <row r="22" spans="2:31" ht="18.75" x14ac:dyDescent="0.3">
      <c r="C22" s="40" t="s">
        <v>59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Y22" s="31"/>
      <c r="Z22" s="31"/>
    </row>
    <row r="23" spans="2:31" ht="18.75" x14ac:dyDescent="0.3">
      <c r="D23" s="5">
        <v>1</v>
      </c>
      <c r="E23" s="5">
        <v>2</v>
      </c>
      <c r="F23" s="5">
        <v>3</v>
      </c>
      <c r="G23" s="5">
        <v>4</v>
      </c>
      <c r="H23" s="5">
        <v>5</v>
      </c>
      <c r="I23" s="5">
        <v>6</v>
      </c>
      <c r="J23" s="5">
        <v>7</v>
      </c>
      <c r="K23" s="5">
        <v>8</v>
      </c>
      <c r="L23" s="5">
        <v>9</v>
      </c>
      <c r="M23" s="5">
        <v>10</v>
      </c>
      <c r="N23" s="5">
        <v>11</v>
      </c>
      <c r="O23" s="5">
        <v>12</v>
      </c>
      <c r="P23" s="5">
        <v>13</v>
      </c>
      <c r="Q23" s="5">
        <v>14</v>
      </c>
      <c r="R23" s="5">
        <v>15</v>
      </c>
      <c r="S23" s="5">
        <v>16</v>
      </c>
      <c r="T23" s="5">
        <v>17</v>
      </c>
      <c r="U23" s="5">
        <v>18</v>
      </c>
      <c r="AA23" s="22"/>
      <c r="AB23" s="22" t="s">
        <v>60</v>
      </c>
      <c r="AC23" s="22"/>
      <c r="AD23" s="22"/>
    </row>
    <row r="24" spans="2:31" ht="30" x14ac:dyDescent="0.25">
      <c r="C24" s="6" t="s">
        <v>3</v>
      </c>
      <c r="D24" s="7" t="s">
        <v>4</v>
      </c>
      <c r="E24" s="7" t="s">
        <v>5</v>
      </c>
      <c r="F24" s="7" t="s">
        <v>6</v>
      </c>
      <c r="G24" s="7" t="s">
        <v>7</v>
      </c>
      <c r="H24" s="7" t="s">
        <v>8</v>
      </c>
      <c r="I24" s="7" t="s">
        <v>9</v>
      </c>
      <c r="J24" s="7" t="s">
        <v>10</v>
      </c>
      <c r="K24" s="7" t="s">
        <v>11</v>
      </c>
      <c r="L24" s="7" t="s">
        <v>12</v>
      </c>
      <c r="M24" s="7" t="s">
        <v>13</v>
      </c>
      <c r="N24" s="7" t="s">
        <v>14</v>
      </c>
      <c r="O24" s="7" t="s">
        <v>15</v>
      </c>
      <c r="P24" s="7" t="s">
        <v>16</v>
      </c>
      <c r="Q24" s="7" t="s">
        <v>17</v>
      </c>
      <c r="R24" s="7" t="s">
        <v>18</v>
      </c>
      <c r="S24" s="7" t="s">
        <v>19</v>
      </c>
      <c r="T24" s="7" t="s">
        <v>20</v>
      </c>
      <c r="U24" s="7" t="s">
        <v>21</v>
      </c>
      <c r="W24" s="23" t="s">
        <v>61</v>
      </c>
      <c r="X24" s="23" t="s">
        <v>62</v>
      </c>
      <c r="Y24" s="49" t="s">
        <v>67</v>
      </c>
      <c r="Z24" s="50"/>
      <c r="AB24" s="24" t="s">
        <v>63</v>
      </c>
      <c r="AC24" s="25">
        <f>SUMPRODUCT(D7:U18, D26:U37)</f>
        <v>0</v>
      </c>
      <c r="AE24" s="1"/>
    </row>
    <row r="25" spans="2:31" ht="15.75" thickBot="1" x14ac:dyDescent="0.3">
      <c r="C25" s="10" t="s">
        <v>26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AC25" s="1"/>
      <c r="AE25" s="1"/>
    </row>
    <row r="26" spans="2:31" x14ac:dyDescent="0.25">
      <c r="B26" s="12" t="s">
        <v>27</v>
      </c>
      <c r="C26" s="13" t="s">
        <v>28</v>
      </c>
      <c r="D26" s="26"/>
      <c r="E26" s="26"/>
      <c r="F26" s="26"/>
      <c r="G26" s="26"/>
      <c r="H26" s="26"/>
      <c r="I26" s="26"/>
      <c r="J26" s="27"/>
      <c r="K26" s="26"/>
      <c r="L26" s="27"/>
      <c r="M26" s="26"/>
      <c r="N26" s="26"/>
      <c r="O26" s="27"/>
      <c r="P26" s="27"/>
      <c r="Q26" s="26"/>
      <c r="R26" s="27"/>
      <c r="S26" s="26"/>
      <c r="T26" s="26"/>
      <c r="U26" s="26"/>
      <c r="W26" s="28">
        <f t="shared" ref="W26:W37" si="11">SUM(D26:U26)</f>
        <v>0</v>
      </c>
      <c r="X26" s="43">
        <f>SUM(W26:W27)</f>
        <v>0</v>
      </c>
      <c r="Y26" s="45">
        <f>SUMPRODUCT(D7:U7, D26:U26)</f>
        <v>0</v>
      </c>
      <c r="Z26" s="46"/>
      <c r="AB26" s="34" t="s">
        <v>65</v>
      </c>
      <c r="AC26" s="32"/>
      <c r="AE26" s="1"/>
    </row>
    <row r="27" spans="2:31" ht="15.75" thickBot="1" x14ac:dyDescent="0.3">
      <c r="B27" s="12" t="s">
        <v>31</v>
      </c>
      <c r="C27" s="13" t="s">
        <v>32</v>
      </c>
      <c r="D27" s="26"/>
      <c r="E27" s="26"/>
      <c r="F27" s="26"/>
      <c r="G27" s="26"/>
      <c r="H27" s="26"/>
      <c r="I27" s="26"/>
      <c r="J27" s="27"/>
      <c r="K27" s="26"/>
      <c r="L27" s="27"/>
      <c r="M27" s="26"/>
      <c r="N27" s="26"/>
      <c r="O27" s="27"/>
      <c r="P27" s="27"/>
      <c r="Q27" s="26"/>
      <c r="R27" s="27"/>
      <c r="S27" s="26"/>
      <c r="T27" s="26"/>
      <c r="U27" s="26"/>
      <c r="W27" s="29">
        <f t="shared" si="11"/>
        <v>0</v>
      </c>
      <c r="X27" s="44"/>
      <c r="Y27" s="47">
        <f>SUMPRODUCT(D8:U8, D27:U27)</f>
        <v>0</v>
      </c>
      <c r="Z27" s="48"/>
      <c r="AB27" s="35"/>
      <c r="AC27" s="33"/>
      <c r="AE27" s="1"/>
    </row>
    <row r="28" spans="2:31" x14ac:dyDescent="0.25">
      <c r="B28" s="12" t="s">
        <v>33</v>
      </c>
      <c r="C28" s="13" t="s">
        <v>34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W28" s="28">
        <f t="shared" si="11"/>
        <v>0</v>
      </c>
      <c r="X28" s="43">
        <f t="shared" ref="X28" si="12">SUM(W28:W29)</f>
        <v>0</v>
      </c>
      <c r="Y28" s="45">
        <f t="shared" ref="Y28:Y37" si="13">SUMPRODUCT(D9:U9, D28:U28)</f>
        <v>0</v>
      </c>
      <c r="Z28" s="46"/>
      <c r="AC28" s="1"/>
      <c r="AE28" s="1"/>
    </row>
    <row r="29" spans="2:31" ht="15.75" thickBot="1" x14ac:dyDescent="0.3">
      <c r="B29" s="12" t="s">
        <v>36</v>
      </c>
      <c r="C29" s="13" t="s">
        <v>37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7"/>
      <c r="W29" s="29">
        <f t="shared" si="11"/>
        <v>0</v>
      </c>
      <c r="X29" s="44"/>
      <c r="Y29" s="47">
        <f t="shared" si="13"/>
        <v>0</v>
      </c>
      <c r="Z29" s="48"/>
      <c r="AB29" s="34" t="s">
        <v>66</v>
      </c>
      <c r="AC29" s="36">
        <f>AC24*AC26</f>
        <v>0</v>
      </c>
      <c r="AD29" s="37"/>
      <c r="AE29" s="1"/>
    </row>
    <row r="30" spans="2:31" x14ac:dyDescent="0.25">
      <c r="B30" s="12" t="s">
        <v>38</v>
      </c>
      <c r="C30" s="13" t="s">
        <v>39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7"/>
      <c r="W30" s="28">
        <f t="shared" si="11"/>
        <v>0</v>
      </c>
      <c r="X30" s="43">
        <f t="shared" ref="X30" si="14">SUM(W30:W31)</f>
        <v>0</v>
      </c>
      <c r="Y30" s="45">
        <f t="shared" si="13"/>
        <v>0</v>
      </c>
      <c r="Z30" s="46"/>
      <c r="AB30" s="35"/>
      <c r="AC30" s="38"/>
      <c r="AD30" s="39"/>
      <c r="AE30" s="1"/>
    </row>
    <row r="31" spans="2:31" ht="15.75" thickBot="1" x14ac:dyDescent="0.3">
      <c r="B31" s="12" t="s">
        <v>41</v>
      </c>
      <c r="C31" s="13" t="s">
        <v>42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  <c r="W31" s="30">
        <f t="shared" si="11"/>
        <v>0</v>
      </c>
      <c r="X31" s="51"/>
      <c r="Y31" s="47">
        <f t="shared" si="13"/>
        <v>0</v>
      </c>
      <c r="Z31" s="48"/>
      <c r="AC31" s="1"/>
      <c r="AE31" s="1"/>
    </row>
    <row r="32" spans="2:31" x14ac:dyDescent="0.25">
      <c r="B32" s="12" t="s">
        <v>43</v>
      </c>
      <c r="C32" s="13" t="s">
        <v>44</v>
      </c>
      <c r="D32" s="27"/>
      <c r="E32" s="27"/>
      <c r="F32" s="27"/>
      <c r="G32" s="26"/>
      <c r="H32" s="27"/>
      <c r="I32" s="27"/>
      <c r="J32" s="27"/>
      <c r="K32" s="27"/>
      <c r="L32" s="27"/>
      <c r="M32" s="27"/>
      <c r="N32" s="27"/>
      <c r="O32" s="26"/>
      <c r="P32" s="27"/>
      <c r="Q32" s="27"/>
      <c r="R32" s="27"/>
      <c r="S32" s="26"/>
      <c r="T32" s="27"/>
      <c r="U32" s="27"/>
      <c r="W32" s="28">
        <f t="shared" si="11"/>
        <v>0</v>
      </c>
      <c r="X32" s="43">
        <f t="shared" ref="X32" si="15">SUM(W32:W33)</f>
        <v>0</v>
      </c>
      <c r="Y32" s="45">
        <f t="shared" si="13"/>
        <v>0</v>
      </c>
      <c r="Z32" s="46"/>
      <c r="AC32" s="1"/>
      <c r="AE32" s="1"/>
    </row>
    <row r="33" spans="2:31" ht="15.75" thickBot="1" x14ac:dyDescent="0.3">
      <c r="B33" s="12" t="s">
        <v>46</v>
      </c>
      <c r="C33" s="13" t="s">
        <v>47</v>
      </c>
      <c r="D33" s="27"/>
      <c r="E33" s="27"/>
      <c r="F33" s="27"/>
      <c r="G33" s="26"/>
      <c r="H33" s="27"/>
      <c r="I33" s="27"/>
      <c r="J33" s="27"/>
      <c r="K33" s="27"/>
      <c r="L33" s="27"/>
      <c r="M33" s="27"/>
      <c r="N33" s="27"/>
      <c r="O33" s="26"/>
      <c r="P33" s="27"/>
      <c r="Q33" s="27"/>
      <c r="R33" s="27"/>
      <c r="S33" s="26"/>
      <c r="T33" s="27"/>
      <c r="U33" s="27"/>
      <c r="W33" s="29">
        <f t="shared" si="11"/>
        <v>0</v>
      </c>
      <c r="X33" s="44"/>
      <c r="Y33" s="47">
        <f t="shared" si="13"/>
        <v>0</v>
      </c>
      <c r="Z33" s="48"/>
      <c r="AC33" s="1"/>
      <c r="AE33" s="1"/>
    </row>
    <row r="34" spans="2:31" x14ac:dyDescent="0.25">
      <c r="B34" s="12" t="s">
        <v>48</v>
      </c>
      <c r="C34" s="13" t="s">
        <v>49</v>
      </c>
      <c r="D34" s="27"/>
      <c r="E34" s="27"/>
      <c r="F34" s="27"/>
      <c r="G34" s="26"/>
      <c r="H34" s="27"/>
      <c r="I34" s="27"/>
      <c r="J34" s="27"/>
      <c r="K34" s="26"/>
      <c r="L34" s="26"/>
      <c r="M34" s="27"/>
      <c r="N34" s="27"/>
      <c r="O34" s="26"/>
      <c r="P34" s="27"/>
      <c r="Q34" s="27"/>
      <c r="R34" s="27"/>
      <c r="S34" s="26"/>
      <c r="T34" s="27"/>
      <c r="U34" s="27"/>
      <c r="W34" s="28">
        <f t="shared" si="11"/>
        <v>0</v>
      </c>
      <c r="X34" s="43">
        <f t="shared" ref="X34" si="16">SUM(W34:W35)</f>
        <v>0</v>
      </c>
      <c r="Y34" s="45">
        <f t="shared" si="13"/>
        <v>0</v>
      </c>
      <c r="Z34" s="46"/>
      <c r="AC34" s="1"/>
      <c r="AE34" s="1"/>
    </row>
    <row r="35" spans="2:31" ht="15.75" thickBot="1" x14ac:dyDescent="0.3">
      <c r="B35" s="12" t="s">
        <v>51</v>
      </c>
      <c r="C35" s="13" t="s">
        <v>52</v>
      </c>
      <c r="D35" s="27"/>
      <c r="E35" s="27"/>
      <c r="F35" s="27"/>
      <c r="G35" s="26"/>
      <c r="H35" s="27"/>
      <c r="I35" s="27"/>
      <c r="J35" s="27"/>
      <c r="K35" s="26"/>
      <c r="L35" s="26"/>
      <c r="M35" s="27"/>
      <c r="N35" s="27"/>
      <c r="O35" s="26"/>
      <c r="P35" s="27"/>
      <c r="Q35" s="27"/>
      <c r="R35" s="27"/>
      <c r="S35" s="26"/>
      <c r="T35" s="27"/>
      <c r="U35" s="27"/>
      <c r="W35" s="29">
        <f t="shared" si="11"/>
        <v>0</v>
      </c>
      <c r="X35" s="44"/>
      <c r="Y35" s="47">
        <f t="shared" si="13"/>
        <v>0</v>
      </c>
      <c r="Z35" s="48"/>
      <c r="AC35" s="1"/>
      <c r="AE35" s="1"/>
    </row>
    <row r="36" spans="2:31" x14ac:dyDescent="0.25">
      <c r="B36" s="12" t="s">
        <v>53</v>
      </c>
      <c r="C36" s="13" t="s">
        <v>54</v>
      </c>
      <c r="D36" s="27"/>
      <c r="E36" s="27"/>
      <c r="F36" s="27"/>
      <c r="G36" s="26"/>
      <c r="H36" s="27"/>
      <c r="I36" s="27"/>
      <c r="J36" s="27"/>
      <c r="K36" s="26"/>
      <c r="L36" s="26"/>
      <c r="M36" s="27"/>
      <c r="N36" s="26"/>
      <c r="O36" s="26"/>
      <c r="P36" s="27"/>
      <c r="Q36" s="27"/>
      <c r="R36" s="27"/>
      <c r="S36" s="26"/>
      <c r="T36" s="27"/>
      <c r="U36" s="27"/>
      <c r="W36" s="28">
        <f t="shared" si="11"/>
        <v>0</v>
      </c>
      <c r="X36" s="43">
        <f t="shared" ref="X36" si="17">SUM(W36:W37)</f>
        <v>0</v>
      </c>
      <c r="Y36" s="45">
        <f t="shared" si="13"/>
        <v>0</v>
      </c>
      <c r="Z36" s="46"/>
      <c r="AC36" s="1"/>
      <c r="AE36" s="1"/>
    </row>
    <row r="37" spans="2:31" ht="15.75" thickBot="1" x14ac:dyDescent="0.3">
      <c r="B37" s="12" t="s">
        <v>56</v>
      </c>
      <c r="C37" s="13" t="s">
        <v>57</v>
      </c>
      <c r="D37" s="27"/>
      <c r="E37" s="27"/>
      <c r="F37" s="27"/>
      <c r="G37" s="26"/>
      <c r="H37" s="27"/>
      <c r="I37" s="27"/>
      <c r="J37" s="27"/>
      <c r="K37" s="26"/>
      <c r="L37" s="26"/>
      <c r="M37" s="27"/>
      <c r="N37" s="26"/>
      <c r="O37" s="26"/>
      <c r="P37" s="27"/>
      <c r="Q37" s="27"/>
      <c r="R37" s="27"/>
      <c r="S37" s="26"/>
      <c r="T37" s="27"/>
      <c r="U37" s="27"/>
      <c r="W37" s="29">
        <f t="shared" si="11"/>
        <v>0</v>
      </c>
      <c r="X37" s="44"/>
      <c r="Y37" s="47">
        <f t="shared" si="13"/>
        <v>0</v>
      </c>
      <c r="Z37" s="48"/>
      <c r="AC37" s="1"/>
      <c r="AE37" s="1"/>
    </row>
    <row r="38" spans="2:31" x14ac:dyDescent="0.25">
      <c r="W38" s="3"/>
      <c r="AC38" s="1"/>
      <c r="AE38" s="1"/>
    </row>
    <row r="39" spans="2:31" x14ac:dyDescent="0.25">
      <c r="C39" s="18" t="s">
        <v>64</v>
      </c>
      <c r="D39" s="19">
        <f>SUM(D26:D37)</f>
        <v>0</v>
      </c>
      <c r="E39" s="19">
        <f t="shared" ref="E39:U39" si="18">SUM(E26:E37)</f>
        <v>0</v>
      </c>
      <c r="F39" s="19">
        <f t="shared" si="18"/>
        <v>0</v>
      </c>
      <c r="G39" s="19">
        <f t="shared" si="18"/>
        <v>0</v>
      </c>
      <c r="H39" s="19">
        <f t="shared" si="18"/>
        <v>0</v>
      </c>
      <c r="I39" s="19">
        <f t="shared" si="18"/>
        <v>0</v>
      </c>
      <c r="J39" s="19">
        <f t="shared" si="18"/>
        <v>0</v>
      </c>
      <c r="K39" s="19">
        <f t="shared" si="18"/>
        <v>0</v>
      </c>
      <c r="L39" s="19">
        <f t="shared" si="18"/>
        <v>0</v>
      </c>
      <c r="M39" s="19">
        <f t="shared" si="18"/>
        <v>0</v>
      </c>
      <c r="N39" s="19">
        <f t="shared" si="18"/>
        <v>0</v>
      </c>
      <c r="O39" s="19">
        <f t="shared" si="18"/>
        <v>0</v>
      </c>
      <c r="P39" s="19">
        <f t="shared" si="18"/>
        <v>0</v>
      </c>
      <c r="Q39" s="19">
        <f t="shared" si="18"/>
        <v>0</v>
      </c>
      <c r="R39" s="19">
        <f t="shared" si="18"/>
        <v>0</v>
      </c>
      <c r="S39" s="19">
        <f t="shared" si="18"/>
        <v>0</v>
      </c>
      <c r="T39" s="19">
        <f t="shared" si="18"/>
        <v>0</v>
      </c>
      <c r="U39" s="19">
        <f t="shared" si="18"/>
        <v>0</v>
      </c>
      <c r="V39" s="20">
        <f>SUM(D39:U39)</f>
        <v>0</v>
      </c>
      <c r="X39" s="23">
        <f>SUM(X26:X37)</f>
        <v>0</v>
      </c>
      <c r="Y39" s="52">
        <f>SUM(Y26:Y37)</f>
        <v>0</v>
      </c>
      <c r="Z39" s="52"/>
      <c r="AC39" s="1"/>
      <c r="AE39" s="1"/>
    </row>
    <row r="40" spans="2:31" x14ac:dyDescent="0.25">
      <c r="AC40" s="1"/>
      <c r="AE40" s="1"/>
    </row>
    <row r="41" spans="2:31" x14ac:dyDescent="0.25">
      <c r="D41" s="17" t="b">
        <f>IF(D20=D39,TRUE,FALSE)</f>
        <v>1</v>
      </c>
      <c r="E41" s="17" t="b">
        <f t="shared" ref="E41:V41" si="19">IF(E20=E39,TRUE,FALSE)</f>
        <v>1</v>
      </c>
      <c r="F41" s="17" t="b">
        <f t="shared" si="19"/>
        <v>1</v>
      </c>
      <c r="G41" s="17" t="b">
        <f t="shared" si="19"/>
        <v>1</v>
      </c>
      <c r="H41" s="17" t="b">
        <f t="shared" si="19"/>
        <v>1</v>
      </c>
      <c r="I41" s="17" t="b">
        <f t="shared" si="19"/>
        <v>1</v>
      </c>
      <c r="J41" s="17" t="b">
        <f t="shared" si="19"/>
        <v>1</v>
      </c>
      <c r="K41" s="17" t="b">
        <f t="shared" si="19"/>
        <v>1</v>
      </c>
      <c r="L41" s="17" t="b">
        <f t="shared" si="19"/>
        <v>1</v>
      </c>
      <c r="M41" s="17" t="b">
        <f t="shared" si="19"/>
        <v>1</v>
      </c>
      <c r="N41" s="17" t="b">
        <f t="shared" si="19"/>
        <v>1</v>
      </c>
      <c r="O41" s="17" t="b">
        <f t="shared" si="19"/>
        <v>1</v>
      </c>
      <c r="P41" s="17" t="b">
        <f t="shared" si="19"/>
        <v>1</v>
      </c>
      <c r="Q41" s="17" t="b">
        <f t="shared" si="19"/>
        <v>1</v>
      </c>
      <c r="R41" s="17" t="b">
        <f t="shared" si="19"/>
        <v>1</v>
      </c>
      <c r="S41" s="17" t="b">
        <f t="shared" si="19"/>
        <v>1</v>
      </c>
      <c r="T41" s="17" t="b">
        <f t="shared" si="19"/>
        <v>1</v>
      </c>
      <c r="U41" s="17" t="b">
        <f t="shared" si="19"/>
        <v>1</v>
      </c>
      <c r="V41" s="17" t="b">
        <f t="shared" si="19"/>
        <v>1</v>
      </c>
      <c r="X41" s="17" t="b">
        <f>IF(X20=X39,TRUE,FALSE)</f>
        <v>1</v>
      </c>
      <c r="Y41" s="53" t="b">
        <f>IF(AC24=Y39,TRUE,FALSE)</f>
        <v>1</v>
      </c>
      <c r="Z41" s="53"/>
      <c r="AC41" s="1"/>
      <c r="AE41" s="1"/>
    </row>
    <row r="42" spans="2:31" x14ac:dyDescent="0.25">
      <c r="AC42" s="1"/>
      <c r="AE42" s="1"/>
    </row>
    <row r="43" spans="2:31" x14ac:dyDescent="0.25">
      <c r="AC43" s="1"/>
      <c r="AE43" s="1"/>
    </row>
    <row r="44" spans="2:31" x14ac:dyDescent="0.25">
      <c r="AC44" s="1"/>
      <c r="AE44" s="1"/>
    </row>
    <row r="45" spans="2:31" x14ac:dyDescent="0.25">
      <c r="AC45" s="1"/>
      <c r="AE45" s="1"/>
    </row>
    <row r="46" spans="2:31" x14ac:dyDescent="0.25">
      <c r="AC46" s="1"/>
      <c r="AE46" s="1"/>
    </row>
    <row r="47" spans="2:31" x14ac:dyDescent="0.25">
      <c r="AC47" s="1"/>
      <c r="AE47" s="1"/>
    </row>
    <row r="48" spans="2:31" x14ac:dyDescent="0.25">
      <c r="AC48" s="1"/>
      <c r="AE48" s="1"/>
    </row>
    <row r="49" spans="25:26" s="1" customFormat="1" x14ac:dyDescent="0.25">
      <c r="Y49" s="3"/>
      <c r="Z49" s="3"/>
    </row>
    <row r="50" spans="25:26" s="1" customFormat="1" x14ac:dyDescent="0.25">
      <c r="Y50" s="3"/>
      <c r="Z50" s="3"/>
    </row>
  </sheetData>
  <protectedRanges>
    <protectedRange sqref="D7:U18" name="CostMatrix"/>
    <protectedRange sqref="D26:U37" name="DecisionVariables"/>
  </protectedRanges>
  <mergeCells count="52">
    <mergeCell ref="X36:X37"/>
    <mergeCell ref="Y36:Z36"/>
    <mergeCell ref="Y37:Z37"/>
    <mergeCell ref="Y39:Z39"/>
    <mergeCell ref="Y41:Z41"/>
    <mergeCell ref="X32:X33"/>
    <mergeCell ref="Y32:Z32"/>
    <mergeCell ref="Y33:Z33"/>
    <mergeCell ref="X34:X35"/>
    <mergeCell ref="Y34:Z34"/>
    <mergeCell ref="Y35:Z35"/>
    <mergeCell ref="X28:X29"/>
    <mergeCell ref="Y28:Z28"/>
    <mergeCell ref="Y29:Z29"/>
    <mergeCell ref="X30:X31"/>
    <mergeCell ref="Y30:Z30"/>
    <mergeCell ref="Y31:Z31"/>
    <mergeCell ref="W17:W18"/>
    <mergeCell ref="X17:X18"/>
    <mergeCell ref="Y17:Y18"/>
    <mergeCell ref="Z17:Z18"/>
    <mergeCell ref="C22:U22"/>
    <mergeCell ref="W13:W14"/>
    <mergeCell ref="X13:X14"/>
    <mergeCell ref="Y13:Y14"/>
    <mergeCell ref="Z13:Z14"/>
    <mergeCell ref="W15:W16"/>
    <mergeCell ref="X15:X16"/>
    <mergeCell ref="Y15:Y16"/>
    <mergeCell ref="Z15:Z16"/>
    <mergeCell ref="Y11:Y12"/>
    <mergeCell ref="Z11:Z12"/>
    <mergeCell ref="X26:X27"/>
    <mergeCell ref="Y26:Z26"/>
    <mergeCell ref="Y27:Z27"/>
    <mergeCell ref="Y24:Z24"/>
    <mergeCell ref="AC26:AC27"/>
    <mergeCell ref="AB26:AB27"/>
    <mergeCell ref="AB29:AB30"/>
    <mergeCell ref="AC29:AD30"/>
    <mergeCell ref="C3:U3"/>
    <mergeCell ref="W3:Z3"/>
    <mergeCell ref="W7:W8"/>
    <mergeCell ref="X7:X8"/>
    <mergeCell ref="Y7:Y8"/>
    <mergeCell ref="Z7:Z8"/>
    <mergeCell ref="W9:W10"/>
    <mergeCell ref="X9:X10"/>
    <mergeCell ref="Y9:Y10"/>
    <mergeCell ref="Z9:Z10"/>
    <mergeCell ref="W11:W12"/>
    <mergeCell ref="X11:X12"/>
  </mergeCells>
  <conditionalFormatting sqref="D7:U18">
    <cfRule type="cellIs" dxfId="7" priority="1" operator="equal">
      <formula>999</formula>
    </cfRule>
  </conditionalFormatting>
  <conditionalFormatting sqref="D26:U37">
    <cfRule type="cellIs" dxfId="6" priority="8" operator="greaterThan">
      <formula>0</formula>
    </cfRule>
  </conditionalFormatting>
  <conditionalFormatting sqref="D41:V41">
    <cfRule type="containsText" dxfId="5" priority="6" operator="containsText" text="TRUE">
      <formula>NOT(ISERROR(SEARCH("TRUE",D41)))</formula>
    </cfRule>
    <cfRule type="containsText" dxfId="4" priority="7" operator="containsText" text="FALSE">
      <formula>NOT(ISERROR(SEARCH("FALSE",D41)))</formula>
    </cfRule>
  </conditionalFormatting>
  <conditionalFormatting sqref="X41:Y41">
    <cfRule type="containsText" dxfId="3" priority="2" operator="containsText" text="TRUE">
      <formula>NOT(ISERROR(SEARCH("TRUE",X41)))</formula>
    </cfRule>
    <cfRule type="containsText" dxfId="2" priority="3" operator="containsText" text="FALSE">
      <formula>NOT(ISERROR(SEARCH("FALSE",X41)))</formula>
    </cfRule>
  </conditionalFormatting>
  <conditionalFormatting sqref="AB7:AB18">
    <cfRule type="containsText" dxfId="1" priority="4" operator="containsText" text="TRUE">
      <formula>NOT(ISERROR(SEARCH("TRUE",AB7)))</formula>
    </cfRule>
    <cfRule type="containsText" dxfId="0" priority="5" operator="containsText" text="FALSE">
      <formula>NOT(ISERROR(SEARCH("FALSE",AB7)))</formula>
    </cfRule>
  </conditionalFormatting>
  <pageMargins left="0.7" right="0.7" top="0.75" bottom="0.75" header="0.3" footer="0.3"/>
  <pageSetup paperSize="9" orientation="portrait" horizontalDpi="300" verticalDpi="300"/>
  <ignoredErrors>
    <ignoredError sqref="AB8:AB1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 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Garcia</dc:creator>
  <cp:lastModifiedBy>Catalina Garcia</cp:lastModifiedBy>
  <dcterms:created xsi:type="dcterms:W3CDTF">2026-03-24T19:54:06Z</dcterms:created>
  <dcterms:modified xsi:type="dcterms:W3CDTF">2026-04-02T00:04:45Z</dcterms:modified>
</cp:coreProperties>
</file>